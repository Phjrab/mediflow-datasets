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71dd9c179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험 요약" sheetId="1" r:id="Rfb1d19adef5b43ef"/>
    <x:sheet xmlns:r="http://schemas.openxmlformats.org/officeDocument/2006/relationships" name="클래스 F1" sheetId="2" r:id="R1da8260ae456496f"/>
    <x:sheet xmlns:r="http://schemas.openxmlformats.org/officeDocument/2006/relationships" name="데이터 정리" sheetId="3" r:id="R0a629ed22984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8">
    <x:font>
      <x:sz val="11"/>
      <x:name val="Carlito"/>
    </x:font>
    <x:font>
      <x:b/>
      <x:sz val="15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222222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20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20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20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20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200" fontId="4" fillId="0" borderId="1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0" fontId="4" fillId="3" borderId="15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6" fillId="3" borderId="14" xfId="0" applyNumberFormat="1" applyFont="1" applyFill="1" applyBorder="1" applyAlignment="1">
      <x:alignment vertical="center"/>
    </x:xf>
    <x:xf numFmtId="0" fontId="6" fillId="3" borderId="1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201" fontId="6" fillId="3" borderId="14" xfId="0" applyNumberFormat="1" applyFont="1" applyFill="1" applyBorder="1" applyAlignment="1">
      <x:alignment vertical="center"/>
    </x:xf>
    <x:xf numFmtId="201" fontId="6" fillId="3" borderId="15" xfId="0" applyNumberFormat="1" applyFont="1" applyFill="1" applyBorder="1" applyAlignment="1">
      <x:alignment vertical="center"/>
    </x:xf>
    <x:xf numFmtId="201" fontId="4" fillId="0" borderId="15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vertical="center"/>
    </x:xf>
    <x:xf numFmtId="200" fontId="6" fillId="3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576058e884995" /><Relationship Type="http://schemas.openxmlformats.org/officeDocument/2006/relationships/theme" Target="/xl/theme/theme1.xml" Id="Rbd85f979319144da" /><Relationship Type="http://schemas.openxmlformats.org/officeDocument/2006/relationships/sharedStrings" Target="/xl/sharedStrings.xml" Id="Rc240d2d5c81842d9" /><Relationship Type="http://schemas.openxmlformats.org/officeDocument/2006/relationships/worksheet" Target="/xl/worksheets/sheet1.xml" Id="Rfb1d19adef5b43ef" /><Relationship Type="http://schemas.openxmlformats.org/officeDocument/2006/relationships/worksheet" Target="/xl/worksheets/sheet2.xml" Id="R1da8260ae456496f" /><Relationship Type="http://schemas.openxmlformats.org/officeDocument/2006/relationships/worksheet" Target="/xl/worksheets/sheet3.xml" Id="R0a629ed229844f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e96f6451e44b0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a168d7f35e248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학습 실험 성능 비교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Validation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'실험 요약'!$A$23:$A$28</c:f>
              <c:strCache>
                <c:ptCount val="0"/>
              </c:strCache>
            </c:strRef>
          </c:cat>
          <c:val>
            <c:numRef>
              <c:f>'실험 요약'!$B$23:$B$28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Test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'실험 요약'!$A$23:$A$28</c:f>
              <c:strCache>
                <c:ptCount val="0"/>
              </c:strCache>
            </c:strRef>
          </c:cat>
          <c:val>
            <c:numRef>
              <c:f>'실험 요약'!$C$23:$C$28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Macro F1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'실험 요약'!$A$23:$A$28</c:f>
              <c:strCache>
                <c:ptCount val="0"/>
              </c:strCache>
            </c:strRef>
          </c:cat>
          <c:val>
            <c:numRef>
              <c:f>'실험 요약'!$D$23:$D$28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B0 CE와 현재 후보의 클래스 F1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B0 CE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'클래스 F1'!$J$7:$J$11</c:f>
              <c:strCache>
                <c:ptCount val="0"/>
              </c:strCache>
            </c:strRef>
          </c:cat>
          <c:val>
            <c:numRef>
              <c:f>'클래스 F1'!$K$7:$K$11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현재 후보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'클래스 F1'!$J$7:$J$11</c:f>
              <c:strCache>
                <c:ptCount val="0"/>
              </c:strCache>
            </c:strRef>
          </c:cat>
          <c:val>
            <c:numRef>
              <c:f>'클래스 F1'!$L$7:$L$11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8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e96f6451e44b0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13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168d7f35e248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erimentSummaryTable" displayName="ExperimentSummaryTable" ref="A10:N19" headerRowCount="1" totalsRowCount="0" totalsRowShown="0">
  <x:tableColumns count="14">
    <x:tableColumn id="1" name="순서"/>
    <x:tableColumn id="2" name="단계"/>
    <x:tableColumn id="3" name="유형"/>
    <x:tableColumn id="4" name="실험/작업"/>
    <x:tableColumn id="5" name="Backbone"/>
    <x:tableColumn id="6" name="입력"/>
    <x:tableColumn id="7" name="Loss"/>
    <x:tableColumn id="8" name="Stage 1"/>
    <x:tableColumn id="9" name="Stage 2"/>
    <x:tableColumn id="10" name="Validation"/>
    <x:tableColumn id="11" name="Test"/>
    <x:tableColumn id="12" name="Macro F1"/>
    <x:tableColumn id="13" name="결론"/>
    <x:tableColumn id="14" name="단일 변경 또는 목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F1Table" displayName="ClassF1Table" ref="A6:G12" headerRowCount="1" totalsRowCount="0" totalsRowShown="0">
  <x:tableColumns count="7">
    <x:tableColumn id="1" name="실험"/>
    <x:tableColumn id="2" name="모낭사이홍반"/>
    <x:tableColumn id="3" name="미세각질"/>
    <x:tableColumn id="4" name="비듬"/>
    <x:tableColumn id="5" name="탈모"/>
    <x:tableColumn id="6" name="피지과다"/>
    <x:tableColumn id="7" name="Macro F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CountsTable" displayName="DatasetCountsTable" ref="A6:J12" headerRowCount="1" totalsRowCount="0" totalsRowShown="0">
  <x:tableColumns count="10">
    <x:tableColumn id="1" name="클래스"/>
    <x:tableColumn id="2" name="기존 Train"/>
    <x:tableColumn id="3" name="기존 Val"/>
    <x:tableColumn id="4" name="기존 Test"/>
    <x:tableColumn id="5" name="기존 원본 합계"/>
    <x:tableColumn id="6" name="Clean 증강 Train"/>
    <x:tableColumn id="7" name="Clean 원본 Train"/>
    <x:tableColumn id="8" name="Clean Val"/>
    <x:tableColumn id="9" name="Clean Test"/>
    <x:tableColumn id="10" name="Clean 고유 원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e58353ae734f00" /><Relationship Type="http://schemas.openxmlformats.org/officeDocument/2006/relationships/table" Target="/xl/tables/table1.xml" Id="Rb07317151d7e45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755d281716449cc" /><Relationship Type="http://schemas.openxmlformats.org/officeDocument/2006/relationships/table" Target="/xl/tables/table2.xml" Id="R65588e0fa7854f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e9b4f35ce749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29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3" hidden="0" customWidth="1"/>
    <x:col min="13" max="13" width="20" hidden="0" customWidth="1"/>
    <x:col min="14" max="14" width="28" hidden="0" customWidth="1"/>
  </x:cols>
  <x:sheetData>
    <x:row r="2">
      <x:c r="A2" s="74" t="str">
        <x:v>Hair 모델 실험 비교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75" t="str">
        <x:v>데이터 재구성부터 EfficientNet-B1 5 Epoch 연장까지, 2026-09-07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5">
      <x:c r="A5" s="67" t="str">
        <x:v>현재 후보</x:v>
      </x:c>
      <x:c r="B5" s="68" t="str">
        <x:v>Validation Accuracy</x:v>
      </x:c>
      <x:c r="C5" s="68" t="str">
        <x:v>Test Accuracy</x:v>
      </x:c>
      <x:c r="D5" s="68" t="str">
        <x:v>Macro F1</x:v>
      </x:c>
      <x:c r="E5" s="68" t="str">
        <x:v>Clean 원본 수</x:v>
      </x:c>
      <x:c r="F5" s="68" t="str">
        <x:v>Test 이미지</x:v>
      </x:c>
      <x:c r="G5" s="68" t="str">
        <x:v>후보 상태</x:v>
      </x:c>
      <x:c r="H5" s="69" t="str">
        <x:v>선택 기준</x:v>
      </x:c>
      <x:c r="I5" s="12"/>
      <x:c r="J5" s="12"/>
      <x:c r="K5" s="12"/>
      <x:c r="L5" s="12"/>
      <x:c r="M5" s="12"/>
      <x:c r="N5" s="12"/>
    </x:row>
    <x:row r="6">
      <x:c r="A6" s="70" t="str">
        <x:f>D19</x:f>
        <x:v>B1 LS0.05 stage2-15</x:v>
      </x:c>
      <x:c r="B6" s="71" t="n">
        <x:f>J19</x:f>
        <x:v>0.7771565318107605</x:v>
      </x:c>
      <x:c r="C6" s="71" t="n">
        <x:f>K19</x:f>
        <x:v>0.7883386581469649</x:v>
      </x:c>
      <x:c r="D6" s="71" t="n">
        <x:f>L19</x:f>
        <x:v>0.7885764577048346</x:v>
      </x:c>
      <x:c r="E6" s="22" t="n">
        <x:v>12536</x:v>
      </x:c>
      <x:c r="F6" s="22" t="n">
        <x:v>1252</x:v>
      </x:c>
      <x:c r="G6" s="17" t="str">
        <x:v>공개 데이터 후보</x:v>
      </x:c>
      <x:c r="H6" s="18" t="str">
        <x:v>Validation Accuracy</x:v>
      </x:c>
      <x:c r="I6" s="12"/>
      <x:c r="J6" s="12"/>
      <x:c r="K6" s="12"/>
      <x:c r="L6" s="12"/>
      <x:c r="M6" s="12"/>
      <x:c r="N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 ht="30" customHeight="1">
      <x:c r="A10" s="67" t="str">
        <x:v>순서</x:v>
      </x:c>
      <x:c r="B10" s="68" t="str">
        <x:v>단계</x:v>
      </x:c>
      <x:c r="C10" s="68" t="str">
        <x:v>유형</x:v>
      </x:c>
      <x:c r="D10" s="68" t="str">
        <x:v>실험/작업</x:v>
      </x:c>
      <x:c r="E10" s="68" t="str">
        <x:v>Backbone</x:v>
      </x:c>
      <x:c r="F10" s="68" t="str">
        <x:v>입력</x:v>
      </x:c>
      <x:c r="G10" s="68" t="str">
        <x:v>Loss</x:v>
      </x:c>
      <x:c r="H10" s="68" t="str">
        <x:v>Stage 1</x:v>
      </x:c>
      <x:c r="I10" s="68" t="str">
        <x:v>Stage 2</x:v>
      </x:c>
      <x:c r="J10" s="68" t="str">
        <x:v>Validation</x:v>
      </x:c>
      <x:c r="K10" s="68" t="str">
        <x:v>Test</x:v>
      </x:c>
      <x:c r="L10" s="68" t="str">
        <x:v>Macro F1</x:v>
      </x:c>
      <x:c r="M10" s="68" t="str">
        <x:v>결론</x:v>
      </x:c>
      <x:c r="N10" s="69" t="str">
        <x:v>단일 변경 또는 목적</x:v>
      </x:c>
    </x:row>
    <x:row r="11" ht="30" customHeight="1">
      <x:c r="A11" s="39" t="n">
        <x:v>1</x:v>
      </x:c>
      <x:c r="B11" s="40" t="str">
        <x:v>데이터 검사</x:v>
      </x:c>
      <x:c r="C11" s="40" t="str">
        <x:v>Audit</x:v>
      </x:c>
      <x:c r="D11" s="40" t="str">
        <x:v>기존 hair_processed 분할 누수 검사</x:v>
      </x:c>
      <x:c r="E11" s="40" t="str"/>
      <x:c r="F11" s="40" t="str"/>
      <x:c r="G11" s="40" t="str"/>
      <x:c r="H11" s="40" t="str"/>
      <x:c r="I11" s="40" t="str"/>
      <x:c r="J11" s="41"/>
      <x:c r="K11" s="41"/>
      <x:c r="L11" s="41"/>
      <x:c r="M11" s="40" t="str">
        <x:v>학습 중단</x:v>
      </x:c>
      <x:c r="N11" s="42" t="str">
        <x:v>SHA-256 완전 동일 파일 검사</x:v>
      </x:c>
    </x:row>
    <x:row r="12" ht="30" customHeight="1">
      <x:c r="A12" s="43" t="n">
        <x:v>2</x:v>
      </x:c>
      <x:c r="B12" s="44" t="str">
        <x:v>데이터 재구성</x:v>
      </x:c>
      <x:c r="C12" s="44" t="str">
        <x:v>Dataset</x:v>
      </x:c>
      <x:c r="D12" s="44" t="str">
        <x:v>hair_clean_v1 생성</x:v>
      </x:c>
      <x:c r="E12" s="44" t="str"/>
      <x:c r="F12" s="44" t="str"/>
      <x:c r="G12" s="44" t="str"/>
      <x:c r="H12" s="44" t="str"/>
      <x:c r="I12" s="44" t="str"/>
      <x:c r="J12" s="45"/>
      <x:c r="K12" s="45"/>
      <x:c r="L12" s="45"/>
      <x:c r="M12" s="44" t="str">
        <x:v>완료</x:v>
      </x:c>
      <x:c r="N12" s="46" t="str">
        <x:v>충돌 제거·중복 정리·80:10:10 재분할</x:v>
      </x:c>
    </x:row>
    <x:row r="13" ht="30" customHeight="1">
      <x:c r="A13" s="26" t="n">
        <x:v>3</x:v>
      </x:c>
      <x:c r="B13" s="27" t="str">
        <x:v>미세조정</x:v>
      </x:c>
      <x:c r="C13" s="27" t="str">
        <x:v>Training</x:v>
      </x:c>
      <x:c r="D13" s="27" t="str">
        <x:v>Clean 224 two-stage</x:v>
      </x:c>
      <x:c r="E13" s="27" t="str">
        <x:v>EfficientNet-B0</x:v>
      </x:c>
      <x:c r="F13" s="27" t="str">
        <x:v>224×224</x:v>
      </x:c>
      <x:c r="G13" s="27" t="str">
        <x:v>Cross Entropy</x:v>
      </x:c>
      <x:c r="H13" s="27" t="n">
        <x:v>15</x:v>
      </x:c>
      <x:c r="I13" s="27" t="n">
        <x:v>10</x:v>
      </x:c>
      <x:c r="J13" s="33" t="n">
        <x:v>0.7643769979476929</x:v>
      </x:c>
      <x:c r="K13" s="33" t="n">
        <x:v>0.7763578274760383</x:v>
      </x:c>
      <x:c r="L13" s="33" t="n">
        <x:v>0.7757408067550379</x:v>
      </x:c>
      <x:c r="M13" s="27" t="str">
        <x:v>Stage 2 선택</x:v>
      </x:c>
      <x:c r="N13" s="28" t="str">
        <x:v>Clean 데이터 첫 기준</x:v>
      </x:c>
    </x:row>
    <x:row r="14" ht="30" customHeight="1">
      <x:c r="A14" s="26" t="n">
        <x:v>4</x:v>
      </x:c>
      <x:c r="B14" s="27" t="str">
        <x:v>해상도</x:v>
      </x:c>
      <x:c r="C14" s="27" t="str">
        <x:v>Training</x:v>
      </x:c>
      <x:c r="D14" s="27" t="str">
        <x:v>Clean 256 CE</x:v>
      </x:c>
      <x:c r="E14" s="27" t="str">
        <x:v>EfficientNet-B0</x:v>
      </x:c>
      <x:c r="F14" s="27" t="str">
        <x:v>256×256</x:v>
      </x:c>
      <x:c r="G14" s="27" t="str">
        <x:v>Cross Entropy</x:v>
      </x:c>
      <x:c r="H14" s="27" t="n">
        <x:v>15</x:v>
      </x:c>
      <x:c r="I14" s="27" t="n">
        <x:v>10</x:v>
      </x:c>
      <x:c r="J14" s="33" t="n">
        <x:v>0.7699680328369141</x:v>
      </x:c>
      <x:c r="K14" s="33" t="n">
        <x:v>0.7891373801916933</x:v>
      </x:c>
      <x:c r="L14" s="33" t="n">
        <x:v>0.7886477230068456</x:v>
      </x:c>
      <x:c r="M14" s="27" t="str">
        <x:v>256 선택</x:v>
      </x:c>
      <x:c r="N14" s="28" t="str">
        <x:v>입력 224→256</x:v>
      </x:c>
    </x:row>
    <x:row r="15" ht="30" customHeight="1">
      <x:c r="A15" s="47" t="n">
        <x:v>5</x:v>
      </x:c>
      <x:c r="B15" s="48" t="str">
        <x:v>오답 분석</x:v>
      </x:c>
      <x:c r="C15" s="48" t="str">
        <x:v>Audit</x:v>
      </x:c>
      <x:c r="D15" s="48" t="str">
        <x:v>256 CE Test 오답 분석</x:v>
      </x:c>
      <x:c r="E15" s="48" t="str">
        <x:v>EfficientNet-B0</x:v>
      </x:c>
      <x:c r="F15" s="48" t="str">
        <x:v>256×256</x:v>
      </x:c>
      <x:c r="G15" s="48" t="str">
        <x:v>Cross Entropy</x:v>
      </x:c>
      <x:c r="H15" s="48" t="str"/>
      <x:c r="I15" s="48" t="str"/>
      <x:c r="J15" s="49"/>
      <x:c r="K15" s="49" t="n">
        <x:v>0.7899361022364217</x:v>
      </x:c>
      <x:c r="L15" s="49" t="n">
        <x:v>0.7894288581149363</x:v>
      </x:c>
      <x:c r="M15" s="48" t="str">
        <x:v>오답 263장</x:v>
      </x:c>
      <x:c r="N15" s="50" t="str">
        <x:v>핵심 혼동·예측 margin 분석</x:v>
      </x:c>
    </x:row>
    <x:row r="16" ht="30" customHeight="1">
      <x:c r="A16" s="26" t="n">
        <x:v>6</x:v>
      </x:c>
      <x:c r="B16" s="27" t="str">
        <x:v>Loss</x:v>
      </x:c>
      <x:c r="C16" s="27" t="str">
        <x:v>Training</x:v>
      </x:c>
      <x:c r="D16" s="27" t="str">
        <x:v>B0 Label Smoothing 0.05</x:v>
      </x:c>
      <x:c r="E16" s="27" t="str">
        <x:v>EfficientNet-B0</x:v>
      </x:c>
      <x:c r="F16" s="27" t="str">
        <x:v>256×256</x:v>
      </x:c>
      <x:c r="G16" s="27" t="str">
        <x:v>Label Smoothing 0.05</x:v>
      </x:c>
      <x:c r="H16" s="27" t="n">
        <x:v>15</x:v>
      </x:c>
      <x:c r="I16" s="27" t="n">
        <x:v>10</x:v>
      </x:c>
      <x:c r="J16" s="33" t="n">
        <x:v>0.7739616632461548</x:v>
      </x:c>
      <x:c r="K16" s="33" t="n">
        <x:v>0.786741214057508</x:v>
      </x:c>
      <x:c r="L16" s="33" t="n">
        <x:v>0.7863134458429594</x:v>
      </x:c>
      <x:c r="M16" s="27" t="str">
        <x:v>Loss 기준 선택</x:v>
      </x:c>
      <x:c r="N16" s="28" t="str">
        <x:v>Label Smoothing 0→0.05</x:v>
      </x:c>
    </x:row>
    <x:row r="17" ht="30" customHeight="1">
      <x:c r="A17" s="26" t="n">
        <x:v>7</x:v>
      </x:c>
      <x:c r="B17" s="27" t="str">
        <x:v>Loss</x:v>
      </x:c>
      <x:c r="C17" s="27" t="str">
        <x:v>Training</x:v>
      </x:c>
      <x:c r="D17" s="27" t="str">
        <x:v>B0 Focal gamma 1.5</x:v>
      </x:c>
      <x:c r="E17" s="27" t="str">
        <x:v>EfficientNet-B0</x:v>
      </x:c>
      <x:c r="F17" s="27" t="str">
        <x:v>256×256</x:v>
      </x:c>
      <x:c r="G17" s="27" t="str">
        <x:v>Focal γ=1.5</x:v>
      </x:c>
      <x:c r="H17" s="27" t="n">
        <x:v>15</x:v>
      </x:c>
      <x:c r="I17" s="27" t="n">
        <x:v>10</x:v>
      </x:c>
      <x:c r="J17" s="33" t="n">
        <x:v>0.7675718665122986</x:v>
      </x:c>
      <x:c r="K17" s="33" t="n">
        <x:v>0.7907348242811502</x:v>
      </x:c>
      <x:c r="L17" s="33" t="n">
        <x:v>0.7905122039602036</x:v>
      </x:c>
      <x:c r="M17" s="27" t="str">
        <x:v>Validation 미선택</x:v>
      </x:c>
      <x:c r="N17" s="28" t="str">
        <x:v>CE→Focal Loss</x:v>
      </x:c>
    </x:row>
    <x:row r="18" ht="30" customHeight="1">
      <x:c r="A18" s="26" t="n">
        <x:v>8</x:v>
      </x:c>
      <x:c r="B18" s="27" t="str">
        <x:v>Backbone</x:v>
      </x:c>
      <x:c r="C18" s="27" t="str">
        <x:v>Training</x:v>
      </x:c>
      <x:c r="D18" s="27" t="str">
        <x:v>B1 LS0.05 stage2-10</x:v>
      </x:c>
      <x:c r="E18" s="27" t="str">
        <x:v>EfficientNet-B1</x:v>
      </x:c>
      <x:c r="F18" s="27" t="str">
        <x:v>256×256</x:v>
      </x:c>
      <x:c r="G18" s="27" t="str">
        <x:v>Label Smoothing 0.05</x:v>
      </x:c>
      <x:c r="H18" s="27" t="n">
        <x:v>15</x:v>
      </x:c>
      <x:c r="I18" s="27" t="n">
        <x:v>10</x:v>
      </x:c>
      <x:c r="J18" s="33" t="n">
        <x:v>0.7763578295707703</x:v>
      </x:c>
      <x:c r="K18" s="33" t="n">
        <x:v>0.7787539936102237</x:v>
      </x:c>
      <x:c r="L18" s="33" t="n">
        <x:v>0.778812327205678</x:v>
      </x:c>
      <x:c r="M18" s="27" t="str">
        <x:v>B1 선택·연장 필요</x:v>
      </x:c>
      <x:c r="N18" s="28" t="str">
        <x:v>Backbone B0→B1</x:v>
      </x:c>
    </x:row>
    <x:row r="19" ht="30" customHeight="1">
      <x:c r="A19" s="35" t="n">
        <x:v>9</x:v>
      </x:c>
      <x:c r="B19" s="36" t="str">
        <x:v>학습 연장</x:v>
      </x:c>
      <x:c r="C19" s="36" t="str">
        <x:v>Training</x:v>
      </x:c>
      <x:c r="D19" s="36" t="str">
        <x:v>B1 LS0.05 stage2-15</x:v>
      </x:c>
      <x:c r="E19" s="36" t="str">
        <x:v>EfficientNet-B1</x:v>
      </x:c>
      <x:c r="F19" s="36" t="str">
        <x:v>256×256</x:v>
      </x:c>
      <x:c r="G19" s="36" t="str">
        <x:v>Label Smoothing 0.05</x:v>
      </x:c>
      <x:c r="H19" s="36" t="n">
        <x:v>15</x:v>
      </x:c>
      <x:c r="I19" s="36" t="n">
        <x:v>15</x:v>
      </x:c>
      <x:c r="J19" s="37" t="n">
        <x:v>0.7771565318107605</x:v>
      </x:c>
      <x:c r="K19" s="37" t="n">
        <x:v>0.7883386581469649</x:v>
      </x:c>
      <x:c r="L19" s="37" t="n">
        <x:v>0.7885764577048346</x:v>
      </x:c>
      <x:c r="M19" s="36" t="str">
        <x:v>현재 공개 데이터 후보</x:v>
      </x:c>
      <x:c r="N19" s="38" t="str">
        <x:v>Stage 2 최대 10→15 Epoch</x:v>
      </x:c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>
      <x:c r="A22" s="67" t="str">
        <x:v>실험</x:v>
      </x:c>
      <x:c r="B22" s="68" t="str">
        <x:v>Validation</x:v>
      </x:c>
      <x:c r="C22" s="68" t="str">
        <x:v>Test</x:v>
      </x:c>
      <x:c r="D22" s="69" t="str">
        <x:v>Macro F1</x:v>
      </x:c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>
      <x:c r="A23" s="23" t="str">
        <x:v>224 CE</x:v>
      </x:c>
      <x:c r="B23" s="32" t="n">
        <x:v>0.7643769979476929</x:v>
      </x:c>
      <x:c r="C23" s="32" t="n">
        <x:v>0.7763578274760383</x:v>
      </x:c>
      <x:c r="D23" s="51" t="n">
        <x:v>0.7757408067550379</x:v>
      </x:c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>
      <x:c r="A24" s="26" t="str">
        <x:v>256 CE</x:v>
      </x:c>
      <x:c r="B24" s="33" t="n">
        <x:v>0.7699680328369141</x:v>
      </x:c>
      <x:c r="C24" s="33" t="n">
        <x:v>0.7891373801916933</x:v>
      </x:c>
      <x:c r="D24" s="52" t="n">
        <x:v>0.7886477230068456</x:v>
      </x:c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>
      <x:c r="A25" s="26" t="str">
        <x:v>B0 LS0.05</x:v>
      </x:c>
      <x:c r="B25" s="33" t="n">
        <x:v>0.7739616632461548</x:v>
      </x:c>
      <x:c r="C25" s="33" t="n">
        <x:v>0.786741214057508</x:v>
      </x:c>
      <x:c r="D25" s="52" t="n">
        <x:v>0.7863134458429594</x:v>
      </x:c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>
      <x:c r="A26" s="26" t="str">
        <x:v>B0 Focal1.5</x:v>
      </x:c>
      <x:c r="B26" s="33" t="n">
        <x:v>0.7675718665122986</x:v>
      </x:c>
      <x:c r="C26" s="33" t="n">
        <x:v>0.7907348242811502</x:v>
      </x:c>
      <x:c r="D26" s="52" t="n">
        <x:v>0.7905122039602036</x:v>
      </x:c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>
      <x:c r="A27" s="26" t="str">
        <x:v>B1 LS 10</x:v>
      </x:c>
      <x:c r="B27" s="33" t="n">
        <x:v>0.7763578295707703</x:v>
      </x:c>
      <x:c r="C27" s="33" t="n">
        <x:v>0.7787539936102237</x:v>
      </x:c>
      <x:c r="D27" s="52" t="n">
        <x:v>0.778812327205678</x:v>
      </x:c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>
      <x:c r="A28" s="29" t="str">
        <x:v>B1 LS 15</x:v>
      </x:c>
      <x:c r="B28" s="34" t="n">
        <x:v>0.7771565318107605</x:v>
      </x:c>
      <x:c r="C28" s="34" t="n">
        <x:v>0.7883386581469649</x:v>
      </x:c>
      <x:c r="D28" s="53" t="n">
        <x:v>0.7885764577048346</x:v>
      </x:c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72" t="str">
        <x:v>해석</x:v>
      </x:c>
      <x:c r="G30" s="12" t="str">
        <x:v>Validation 기준으로 B1 LS0.05 Stage 2 15 Epoch가 선택됨</x:v>
      </x:c>
      <x:c r="H30" s="12"/>
      <x:c r="I30" s="12"/>
      <x:c r="J30" s="12"/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72" t="str">
        <x:v>주의</x:v>
      </x:c>
      <x:c r="G31" s="12" t="str">
        <x:v>Focal은 Test가 가장 높지만 Validation이 낮아 선택하지 않음</x:v>
      </x:c>
      <x:c r="H31" s="12"/>
      <x:c r="I31" s="12"/>
      <x:c r="J31" s="12"/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72" t="str">
        <x:v>한계</x:v>
      </x:c>
      <x:c r="G32" s="12" t="str">
        <x:v>실제 USB 현미경 데이터와 사람·촬영 세션 단위 검증이 없음</x:v>
      </x:c>
      <x:c r="H32" s="12"/>
      <x:c r="I32" s="12"/>
      <x:c r="J32" s="12"/>
      <x:c r="K32" s="12"/>
      <x:c r="L32" s="12"/>
      <x:c r="M32" s="12"/>
      <x:c r="N32" s="12"/>
    </x:row>
  </x:sheetData>
  <x:pageMargins left="0.7" right="0.7" top="0.75" bottom="0.75" header="0.3" footer="0.3"/>
  <x:drawing xmlns:r="http://schemas.openxmlformats.org/officeDocument/2006/relationships" r:id="Rcde58353ae734f00"/>
  <x:tableParts count="1">
    <x:tablePart xmlns:r="http://schemas.openxmlformats.org/officeDocument/2006/relationships" r:id="Rb07317151d7e45b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10" max="10" width="17" hidden="0" customWidth="1"/>
    <x:col min="11" max="11" width="6.25" hidden="0" customWidth="1"/>
    <x:col min="12" max="12" width="7.75" hidden="0" customWidth="1"/>
  </x:cols>
  <x:sheetData>
    <x:row r="2">
      <x:c r="A2" s="74" t="str">
        <x:v>클래스별 F1 비교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75" t="str">
        <x:v>같은 clean Test 세트에서 저장된 classification_report.csv 값을 사용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</x:row>
    <x:row r="6">
      <x:c r="A6" s="67" t="str">
        <x:v>실험</x:v>
      </x:c>
      <x:c r="B6" s="68" t="str">
        <x:v>모낭사이홍반</x:v>
      </x:c>
      <x:c r="C6" s="68" t="str">
        <x:v>미세각질</x:v>
      </x:c>
      <x:c r="D6" s="68" t="str">
        <x:v>비듬</x:v>
      </x:c>
      <x:c r="E6" s="68" t="str">
        <x:v>탈모</x:v>
      </x:c>
      <x:c r="F6" s="68" t="str">
        <x:v>피지과다</x:v>
      </x:c>
      <x:c r="G6" s="69" t="str">
        <x:v>Macro F1</x:v>
      </x:c>
      <x:c r="H6" s="12"/>
      <x:c r="I6" s="12"/>
      <x:c r="J6" s="67" t="str">
        <x:v>클래스</x:v>
      </x:c>
      <x:c r="K6" s="68" t="str">
        <x:v>B0 CE</x:v>
      </x:c>
      <x:c r="L6" s="69" t="str">
        <x:v>현재 후보</x:v>
      </x:c>
    </x:row>
    <x:row r="7">
      <x:c r="A7" s="23" t="str">
        <x:v>224 CE</x:v>
      </x:c>
      <x:c r="B7" s="32" t="n">
        <x:v>0.8250950570342205</x:v>
      </x:c>
      <x:c r="C7" s="32" t="n">
        <x:v>0.724</x:v>
      </x:c>
      <x:c r="D7" s="32" t="n">
        <x:v>0.7383966244725738</x:v>
      </x:c>
      <x:c r="E7" s="32" t="n">
        <x:v>0.8237704918032787</x:v>
      </x:c>
      <x:c r="F7" s="32" t="n">
        <x:v>0.7674418604651163</x:v>
      </x:c>
      <x:c r="G7" s="51" t="n">
        <x:v>0.7757408067550379</x:v>
      </x:c>
      <x:c r="H7" s="12"/>
      <x:c r="I7" s="12"/>
      <x:c r="J7" s="23" t="str">
        <x:v>모낭사이홍반</x:v>
      </x:c>
      <x:c r="K7" s="32" t="n">
        <x:v>0.8362235067437379</x:v>
      </x:c>
      <x:c r="L7" s="51" t="n">
        <x:v>0.8373015873015873</x:v>
      </x:c>
    </x:row>
    <x:row r="8">
      <x:c r="A8" s="26" t="str">
        <x:v>256 CE</x:v>
      </x:c>
      <x:c r="B8" s="33" t="n">
        <x:v>0.8362235067437379</x:v>
      </x:c>
      <x:c r="C8" s="33" t="n">
        <x:v>0.7485148514851485</x:v>
      </x:c>
      <x:c r="D8" s="33" t="n">
        <x:v>0.7372881355932204</x:v>
      </x:c>
      <x:c r="E8" s="33" t="n">
        <x:v>0.8333333333333334</x:v>
      </x:c>
      <x:c r="F8" s="33" t="n">
        <x:v>0.7878787878787878</x:v>
      </x:c>
      <x:c r="G8" s="52" t="n">
        <x:v>0.7886477230068456</x:v>
      </x:c>
      <x:c r="H8" s="12"/>
      <x:c r="I8" s="12"/>
      <x:c r="J8" s="26" t="str">
        <x:v>미세각질</x:v>
      </x:c>
      <x:c r="K8" s="33" t="n">
        <x:v>0.7485148514851485</x:v>
      </x:c>
      <x:c r="L8" s="52" t="n">
        <x:v>0.744466800804829</x:v>
      </x:c>
    </x:row>
    <x:row r="9">
      <x:c r="A9" s="26" t="str">
        <x:v>B0 LS0.05</x:v>
      </x:c>
      <x:c r="B9" s="33" t="n">
        <x:v>0.8346153846153846</x:v>
      </x:c>
      <x:c r="C9" s="33" t="n">
        <x:v>0.7495069033530573</x:v>
      </x:c>
      <x:c r="D9" s="33" t="n">
        <x:v>0.7357293868921776</x:v>
      </x:c>
      <x:c r="E9" s="33" t="n">
        <x:v>0.8316008316008316</x:v>
      </x:c>
      <x:c r="F9" s="33" t="n">
        <x:v>0.780114722753346</x:v>
      </x:c>
      <x:c r="G9" s="52" t="n">
        <x:v>0.7863134458429594</x:v>
      </x:c>
      <x:c r="H9" s="12"/>
      <x:c r="I9" s="12"/>
      <x:c r="J9" s="26" t="str">
        <x:v>비듬</x:v>
      </x:c>
      <x:c r="K9" s="33" t="n">
        <x:v>0.7372881355932204</x:v>
      </x:c>
      <x:c r="L9" s="52" t="n">
        <x:v>0.7325102880658436</x:v>
      </x:c>
    </x:row>
    <x:row r="10">
      <x:c r="A10" s="26" t="str">
        <x:v>B0 Focal1.5</x:v>
      </x:c>
      <x:c r="B10" s="33" t="n">
        <x:v>0.837573385518591</x:v>
      </x:c>
      <x:c r="C10" s="33" t="n">
        <x:v>0.7436399217221135</x:v>
      </x:c>
      <x:c r="D10" s="33" t="n">
        <x:v>0.7420042643923241</x:v>
      </x:c>
      <x:c r="E10" s="33" t="n">
        <x:v>0.8368200836820083</x:v>
      </x:c>
      <x:c r="F10" s="33" t="n">
        <x:v>0.7925233644859813</x:v>
      </x:c>
      <x:c r="G10" s="52" t="n">
        <x:v>0.7905122039602036</x:v>
      </x:c>
      <x:c r="H10" s="12"/>
      <x:c r="I10" s="12"/>
      <x:c r="J10" s="26" t="str">
        <x:v>탈모</x:v>
      </x:c>
      <x:c r="K10" s="33" t="n">
        <x:v>0.8333333333333334</x:v>
      </x:c>
      <x:c r="L10" s="52" t="n">
        <x:v>0.8463157894736842</x:v>
      </x:c>
    </x:row>
    <x:row r="11">
      <x:c r="A11" s="26" t="str">
        <x:v>B1 LS 10</x:v>
      </x:c>
      <x:c r="B11" s="33" t="n">
        <x:v>0.821917808219178</x:v>
      </x:c>
      <x:c r="C11" s="33" t="n">
        <x:v>0.7349397590361446</x:v>
      </x:c>
      <x:c r="D11" s="33" t="n">
        <x:v>0.7329192546583851</x:v>
      </x:c>
      <x:c r="E11" s="33" t="n">
        <x:v>0.8405797101449275</x:v>
      </x:c>
      <x:c r="F11" s="33" t="n">
        <x:v>0.7637051039697542</x:v>
      </x:c>
      <x:c r="G11" s="52" t="n">
        <x:v>0.778812327205678</x:v>
      </x:c>
      <x:c r="H11" s="12"/>
      <x:c r="I11" s="12"/>
      <x:c r="J11" s="29" t="str">
        <x:v>피지과다</x:v>
      </x:c>
      <x:c r="K11" s="34" t="n">
        <x:v>0.7878787878787878</x:v>
      </x:c>
      <x:c r="L11" s="53" t="n">
        <x:v>0.7822878228782287</x:v>
      </x:c>
    </x:row>
    <x:row r="12">
      <x:c r="A12" s="35" t="str">
        <x:v>B1 LS 15</x:v>
      </x:c>
      <x:c r="B12" s="37" t="n">
        <x:v>0.8373015873015873</x:v>
      </x:c>
      <x:c r="C12" s="37" t="n">
        <x:v>0.744466800804829</x:v>
      </x:c>
      <x:c r="D12" s="37" t="n">
        <x:v>0.7325102880658436</x:v>
      </x:c>
      <x:c r="E12" s="37" t="n">
        <x:v>0.8463157894736842</x:v>
      </x:c>
      <x:c r="F12" s="37" t="n">
        <x:v>0.7822878228782287</x:v>
      </x:c>
      <x:c r="G12" s="55" t="n">
        <x:v>0.7885764577048346</x:v>
      </x:c>
      <x:c r="H12" s="12"/>
      <x:c r="I12" s="12"/>
      <x:c r="J12" s="12"/>
      <x:c r="K12" s="12"/>
      <x:c r="L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72" t="str">
        <x:v>관찰</x:v>
      </x:c>
      <x:c r="B15" s="12" t="str">
        <x:v>미세각질과 비듬이 계속 낮은 F1 구간</x:v>
      </x:c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72" t="str">
        <x:v>현재 후보 강점</x:v>
      </x:c>
      <x:c r="B16" s="12" t="str">
        <x:v>탈모 F1 84.63%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72" t="str">
        <x:v>현재 후보 약점</x:v>
      </x:c>
      <x:c r="B17" s="12" t="str">
        <x:v>비듬 F1 73.25%, 미세각질 F1 74.45%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72" t="str">
        <x:v>해석 제한</x:v>
      </x:c>
      <x:c r="B18" s="12" t="str">
        <x:v>Test 지표로 모델 선택을 변경하지 않음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</x:sheetData>
  <x:conditionalFormatting sqref="B7:F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f755d281716449cc"/>
  <x:tableParts count="1">
    <x:tablePart xmlns:r="http://schemas.openxmlformats.org/officeDocument/2006/relationships" r:id="R65588e0fa7854f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2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A2" s="74" t="str">
        <x:v>데이터 정리와 검증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75" t="str">
        <x:v>기존 14,500장 데이터의 분할 누수 발견 후 clean 데이터셋을 새로 생성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>
      <x:c r="A6" s="67" t="str">
        <x:v>클래스</x:v>
      </x:c>
      <x:c r="B6" s="68" t="str">
        <x:v>기존 Train</x:v>
      </x:c>
      <x:c r="C6" s="68" t="str">
        <x:v>기존 Val</x:v>
      </x:c>
      <x:c r="D6" s="68" t="str">
        <x:v>기존 Test</x:v>
      </x:c>
      <x:c r="E6" s="68" t="str">
        <x:v>기존 원본 합계</x:v>
      </x:c>
      <x:c r="F6" s="68" t="str">
        <x:v>Clean 증강 Train</x:v>
      </x:c>
      <x:c r="G6" s="68" t="str">
        <x:v>Clean 원본 Train</x:v>
      </x:c>
      <x:c r="H6" s="68" t="str">
        <x:v>Clean Val</x:v>
      </x:c>
      <x:c r="I6" s="68" t="str">
        <x:v>Clean Test</x:v>
      </x:c>
      <x:c r="J6" s="69" t="str">
        <x:v>Clean 고유 원본</x:v>
      </x:c>
    </x:row>
    <x:row r="7">
      <x:c r="A7" s="23" t="str">
        <x:v>모낭사이홍반</x:v>
      </x:c>
      <x:c r="B7" s="59" t="n">
        <x:v>2320</x:v>
      </x:c>
      <x:c r="C7" s="59" t="n">
        <x:v>290</x:v>
      </x:c>
      <x:c r="D7" s="59" t="n">
        <x:v>290</x:v>
      </x:c>
      <x:c r="E7" s="59" t="n">
        <x:f>SUM(B7:D7)</x:f>
        <x:v>2900</x:v>
      </x:c>
      <x:c r="F7" s="59" t="n">
        <x:v>2985</x:v>
      </x:c>
      <x:c r="G7" s="59" t="n">
        <x:v>1990</x:v>
      </x:c>
      <x:c r="H7" s="59" t="n">
        <x:v>248</x:v>
      </x:c>
      <x:c r="I7" s="59" t="n">
        <x:v>248</x:v>
      </x:c>
      <x:c r="J7" s="60" t="n">
        <x:f>SUM(G7:I7)</x:f>
        <x:v>2486</x:v>
      </x:c>
    </x:row>
    <x:row r="8">
      <x:c r="A8" s="26" t="str">
        <x:v>미세각질</x:v>
      </x:c>
      <x:c r="B8" s="61" t="n">
        <x:v>2320</x:v>
      </x:c>
      <x:c r="C8" s="61" t="n">
        <x:v>290</x:v>
      </x:c>
      <x:c r="D8" s="61" t="n">
        <x:v>290</x:v>
      </x:c>
      <x:c r="E8" s="61" t="n">
        <x:f>SUM(B8:D8)</x:f>
        <x:v>2900</x:v>
      </x:c>
      <x:c r="F8" s="61" t="n">
        <x:v>3075</x:v>
      </x:c>
      <x:c r="G8" s="61" t="n">
        <x:v>2050</x:v>
      </x:c>
      <x:c r="H8" s="61" t="n">
        <x:v>256</x:v>
      </x:c>
      <x:c r="I8" s="61" t="n">
        <x:v>256</x:v>
      </x:c>
      <x:c r="J8" s="62" t="n">
        <x:f>SUM(G8:I8)</x:f>
        <x:v>2562</x:v>
      </x:c>
    </x:row>
    <x:row r="9">
      <x:c r="A9" s="26" t="str">
        <x:v>비듬</x:v>
      </x:c>
      <x:c r="B9" s="61" t="n">
        <x:v>2320</x:v>
      </x:c>
      <x:c r="C9" s="61" t="n">
        <x:v>290</x:v>
      </x:c>
      <x:c r="D9" s="61" t="n">
        <x:v>290</x:v>
      </x:c>
      <x:c r="E9" s="61" t="n">
        <x:f>SUM(B9:D9)</x:f>
        <x:v>2900</x:v>
      </x:c>
      <x:c r="F9" s="61" t="n">
        <x:v>2893</x:v>
      </x:c>
      <x:c r="G9" s="61" t="n">
        <x:v>1929</x:v>
      </x:c>
      <x:c r="H9" s="61" t="n">
        <x:v>241</x:v>
      </x:c>
      <x:c r="I9" s="61" t="n">
        <x:v>241</x:v>
      </x:c>
      <x:c r="J9" s="62" t="n">
        <x:f>SUM(G9:I9)</x:f>
        <x:v>2411</x:v>
      </x:c>
    </x:row>
    <x:row r="10">
      <x:c r="A10" s="26" t="str">
        <x:v>탈모</x:v>
      </x:c>
      <x:c r="B10" s="61" t="n">
        <x:v>2320</x:v>
      </x:c>
      <x:c r="C10" s="61" t="n">
        <x:v>290</x:v>
      </x:c>
      <x:c r="D10" s="61" t="n">
        <x:v>290</x:v>
      </x:c>
      <x:c r="E10" s="61" t="n">
        <x:f>SUM(B10:D10)</x:f>
        <x:v>2900</x:v>
      </x:c>
      <x:c r="F10" s="61" t="n">
        <x:v>2947</x:v>
      </x:c>
      <x:c r="G10" s="61" t="n">
        <x:v>1965</x:v>
      </x:c>
      <x:c r="H10" s="61" t="n">
        <x:v>245</x:v>
      </x:c>
      <x:c r="I10" s="61" t="n">
        <x:v>245</x:v>
      </x:c>
      <x:c r="J10" s="62" t="n">
        <x:f>SUM(G10:I10)</x:f>
        <x:v>2455</x:v>
      </x:c>
    </x:row>
    <x:row r="11">
      <x:c r="A11" s="26" t="str">
        <x:v>피지과다</x:v>
      </x:c>
      <x:c r="B11" s="61" t="n">
        <x:v>2320</x:v>
      </x:c>
      <x:c r="C11" s="61" t="n">
        <x:v>290</x:v>
      </x:c>
      <x:c r="D11" s="61" t="n">
        <x:v>290</x:v>
      </x:c>
      <x:c r="E11" s="61" t="n">
        <x:f>SUM(B11:D11)</x:f>
        <x:v>2900</x:v>
      </x:c>
      <x:c r="F11" s="61" t="n">
        <x:v>3147</x:v>
      </x:c>
      <x:c r="G11" s="61" t="n">
        <x:v>2098</x:v>
      </x:c>
      <x:c r="H11" s="61" t="n">
        <x:v>262</x:v>
      </x:c>
      <x:c r="I11" s="61" t="n">
        <x:v>262</x:v>
      </x:c>
      <x:c r="J11" s="62" t="n">
        <x:f>SUM(G11:I11)</x:f>
        <x:v>2622</x:v>
      </x:c>
    </x:row>
    <x:row r="12">
      <x:c r="A12" s="56" t="str">
        <x:v>합계</x:v>
      </x:c>
      <x:c r="B12" s="63" t="n">
        <x:f>SUM(B7:B11)</x:f>
        <x:v>11600</x:v>
      </x:c>
      <x:c r="C12" s="63" t="n">
        <x:f>SUM(C7:C11)</x:f>
        <x:v>1450</x:v>
      </x:c>
      <x:c r="D12" s="63" t="n">
        <x:f>SUM(D7:D11)</x:f>
        <x:v>1450</x:v>
      </x:c>
      <x:c r="E12" s="63" t="n">
        <x:f>SUM(E7:E11)</x:f>
        <x:v>14500</x:v>
      </x:c>
      <x:c r="F12" s="63" t="n">
        <x:f>SUM(F7:F11)</x:f>
        <x:v>15047</x:v>
      </x:c>
      <x:c r="G12" s="63" t="n">
        <x:f>SUM(G7:G11)</x:f>
        <x:v>10032</x:v>
      </x:c>
      <x:c r="H12" s="63" t="n">
        <x:f>SUM(H7:H11)</x:f>
        <x:v>1252</x:v>
      </x:c>
      <x:c r="I12" s="63" t="n">
        <x:f>SUM(I7:I11)</x:f>
        <x:v>1252</x:v>
      </x:c>
      <x:c r="J12" s="64" t="n">
        <x:f>SUM(J7:J11)</x:f>
        <x:v>12536</x:v>
      </x:c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67" t="str">
        <x:v>기존 분할 중복 검사</x:v>
      </x:c>
      <x:c r="B15" s="69" t="str">
        <x:v>완전 동일 SHA-256 그룹 수</x:v>
      </x:c>
      <x:c r="C15" s="12"/>
      <x:c r="D15" s="67" t="str">
        <x:v>Clean 데이터 검증</x:v>
      </x:c>
      <x:c r="E15" s="69" t="str">
        <x:v>값</x:v>
      </x:c>
      <x:c r="F15" s="12"/>
      <x:c r="G15" s="12"/>
      <x:c r="H15" s="12"/>
      <x:c r="I15" s="12"/>
      <x:c r="J15" s="12"/>
    </x:row>
    <x:row r="16">
      <x:c r="A16" s="23" t="str">
        <x:v>Train ↔ Validation</x:v>
      </x:c>
      <x:c r="B16" s="60" t="n">
        <x:v>195</x:v>
      </x:c>
      <x:c r="C16" s="12"/>
      <x:c r="D16" s="23" t="str">
        <x:v>ZIP SHA-256</x:v>
      </x:c>
      <x:c r="E16" s="25" t="str">
        <x:v>2ac7260663cf69835ba50edb6ae8c7e7ac13be9c73b9f7ea24f60e0342e7e156</x:v>
      </x:c>
      <x:c r="F16" s="12"/>
      <x:c r="G16" s="12"/>
      <x:c r="H16" s="12"/>
      <x:c r="I16" s="12"/>
      <x:c r="J16" s="12"/>
    </x:row>
    <x:row r="17">
      <x:c r="A17" s="26" t="str">
        <x:v>Train ↔ Test</x:v>
      </x:c>
      <x:c r="B17" s="62" t="n">
        <x:v>178</x:v>
      </x:c>
      <x:c r="C17" s="12"/>
      <x:c r="D17" s="26" t="str">
        <x:v>ZIP 크기</x:v>
      </x:c>
      <x:c r="E17" s="28" t="str">
        <x:v>2.78 GB</x:v>
      </x:c>
      <x:c r="F17" s="12"/>
      <x:c r="G17" s="12"/>
      <x:c r="H17" s="12"/>
      <x:c r="I17" s="12"/>
      <x:c r="J17" s="12"/>
    </x:row>
    <x:row r="18">
      <x:c r="A18" s="29" t="str">
        <x:v>Validation ↔ Test</x:v>
      </x:c>
      <x:c r="B18" s="65" t="n">
        <x:v>16</x:v>
      </x:c>
      <x:c r="C18" s="12"/>
      <x:c r="D18" s="26" t="str">
        <x:v>분할 간 완전 동일 파일</x:v>
      </x:c>
      <x:c r="E18" s="28" t="n">
        <x:v>0</x:v>
      </x:c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26" t="str">
        <x:v>기존 원본 대비 제외</x:v>
      </x:c>
      <x:c r="E19" s="62" t="n">
        <x:f>E12-J12</x:f>
        <x:v>1964</x:v>
      </x:c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29" t="str">
        <x:v>원천 라벨 JSON</x:v>
      </x:c>
      <x:c r="E20" s="31" t="str">
        <x:v>clean ZIP에 없음</x:v>
      </x:c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67" t="str">
        <x:v>오답 분석</x:v>
      </x:c>
      <x:c r="B22" s="69" t="str">
        <x:v>값</x:v>
      </x:c>
      <x:c r="C22" s="12"/>
      <x:c r="D22" s="67" t="str">
        <x:v>주요 혼동 방향</x:v>
      </x:c>
      <x:c r="E22" s="69" t="str">
        <x:v>장수</x:v>
      </x:c>
      <x:c r="F22" s="12"/>
      <x:c r="G22" s="12"/>
      <x:c r="H22" s="12"/>
      <x:c r="I22" s="12"/>
      <x:c r="J22" s="12"/>
    </x:row>
    <x:row r="23">
      <x:c r="A23" s="23" t="str">
        <x:v>Test 이미지</x:v>
      </x:c>
      <x:c r="B23" s="60" t="n">
        <x:v>1252</x:v>
      </x:c>
      <x:c r="C23" s="12"/>
      <x:c r="D23" s="23" t="str">
        <x:v>비듬 → 미세각질</x:v>
      </x:c>
      <x:c r="E23" s="60" t="n">
        <x:v>38</x:v>
      </x:c>
      <x:c r="F23" s="12"/>
      <x:c r="G23" s="12"/>
      <x:c r="H23" s="12"/>
      <x:c r="I23" s="12"/>
      <x:c r="J23" s="12"/>
    </x:row>
    <x:row r="24">
      <x:c r="A24" s="26" t="str">
        <x:v>전체 오답</x:v>
      </x:c>
      <x:c r="B24" s="62" t="n">
        <x:v>263</x:v>
      </x:c>
      <x:c r="C24" s="12"/>
      <x:c r="D24" s="26" t="str">
        <x:v>미세각질 → 비듬</x:v>
      </x:c>
      <x:c r="E24" s="62" t="n">
        <x:v>31</x:v>
      </x:c>
      <x:c r="F24" s="12"/>
      <x:c r="G24" s="12"/>
      <x:c r="H24" s="12"/>
      <x:c r="I24" s="12"/>
      <x:c r="J24" s="12"/>
    </x:row>
    <x:row r="25">
      <x:c r="A25" s="26" t="str">
        <x:v>핵심 혼동 오답</x:v>
      </x:c>
      <x:c r="B25" s="62" t="n">
        <x:v>105</x:v>
      </x:c>
      <x:c r="C25" s="12"/>
      <x:c r="D25" s="26" t="str">
        <x:v>비듬 → 피지과다</x:v>
      </x:c>
      <x:c r="E25" s="62" t="n">
        <x:v>23</x:v>
      </x:c>
      <x:c r="F25" s="12"/>
      <x:c r="G25" s="12"/>
      <x:c r="H25" s="12"/>
      <x:c r="I25" s="12"/>
      <x:c r="J25" s="12"/>
    </x:row>
    <x:row r="26">
      <x:c r="A26" s="26" t="str">
        <x:v>오답 중 확률 70% 이상</x:v>
      </x:c>
      <x:c r="B26" s="62" t="n">
        <x:v>94</x:v>
      </x:c>
      <x:c r="C26" s="12"/>
      <x:c r="D26" s="29" t="str">
        <x:v>피지과다 → 비듬</x:v>
      </x:c>
      <x:c r="E26" s="65" t="n">
        <x:v>13</x:v>
      </x:c>
      <x:c r="F26" s="12"/>
      <x:c r="G26" s="12"/>
      <x:c r="H26" s="12"/>
      <x:c r="I26" s="12"/>
      <x:c r="J26" s="12"/>
    </x:row>
    <x:row r="27">
      <x:c r="A27" s="29" t="str">
        <x:v>오답 중 확률 90% 이상</x:v>
      </x:c>
      <x:c r="B27" s="65" t="n">
        <x:v>21</x:v>
      </x:c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67" t="str">
        <x:v>자료</x:v>
      </x:c>
      <x:c r="B30" s="69" t="str">
        <x:v>확인된 파일</x:v>
      </x:c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23" t="str">
        <x:v>Clean 데이터</x:v>
      </x:c>
      <x:c r="B31" s="25" t="str">
        <x:v>hair_clean_v1_20260907_053616.zip</x:v>
      </x:c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26" t="str">
        <x:v>학습 결과</x:v>
      </x:c>
      <x:c r="B32" s="28" t="str">
        <x:v>사용자가 제공한 6개 학습 결과 ZIP</x:v>
      </x:c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26" t="str">
        <x:v>오답 분석</x:v>
      </x:c>
      <x:c r="B33" s="28" t="str">
        <x:v>error_audit_256_20260907_102019.zip</x:v>
      </x:c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29" t="str">
        <x:v>제한</x:v>
      </x:c>
      <x:c r="B34" s="31" t="str">
        <x:v>사람·촬영 세션 단위 누수와 실제 장비 Domain Gap은 미검증</x:v>
      </x:c>
      <x:c r="C34" s="12"/>
      <x:c r="D34" s="12"/>
      <x:c r="E34" s="12"/>
      <x:c r="F34" s="12"/>
      <x:c r="G34" s="12"/>
      <x:c r="H34" s="12"/>
      <x:c r="I34" s="12"/>
      <x:c r="J34" s="12"/>
    </x:row>
  </x:sheetData>
  <x:pageMargins left="0.7" right="0.7" top="0.75" bottom="0.75" header="0.3" footer="0.3"/>
  <x:tableParts count="1">
    <x:tablePart xmlns:r="http://schemas.openxmlformats.org/officeDocument/2006/relationships" r:id="Rb6e9b4f35ce7492b"/>
  </x:tableParts>
</x:worksheet>
</file>